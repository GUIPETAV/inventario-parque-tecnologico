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enças" sheetId="1" state="visible" r:id="rId1"/>
    <sheet name="Valida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F0F5"/>
        <bgColor rgb="00E8F0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  <col width="20" customWidth="1" min="9" max="9"/>
    <col width="14" customWidth="1" style="1" min="10" max="10"/>
    <col width="14" customWidth="1" style="1" min="11" max="11"/>
    <col width="14" customWidth="1" style="2" min="12" max="12"/>
    <col width="14" customWidth="1" style="2" min="13" max="13"/>
    <col width="14" customWidth="1" min="14" max="14"/>
    <col width="15" customWidth="1" min="15" max="15"/>
    <col width="15" customWidth="1" min="16" max="16"/>
    <col width="20" customWidth="1" min="17" max="17"/>
  </cols>
  <sheetData>
    <row r="1">
      <c r="A1" s="3" t="inlineStr">
        <is>
          <t>ID_Licenca</t>
        </is>
      </c>
      <c r="B1" s="3" t="inlineStr">
        <is>
          <t>Software</t>
        </is>
      </c>
      <c r="C1" s="3" t="inlineStr">
        <is>
          <t>Versao</t>
        </is>
      </c>
      <c r="D1" s="3" t="inlineStr">
        <is>
          <t>Fabricante</t>
        </is>
      </c>
      <c r="E1" s="3" t="inlineStr">
        <is>
          <t>Tipo_Licenca</t>
        </is>
      </c>
      <c r="F1" s="3" t="inlineStr">
        <is>
          <t>Quantidade_Adquirida</t>
        </is>
      </c>
      <c r="G1" s="3" t="inlineStr">
        <is>
          <t>Quantidade_Utilizada</t>
        </is>
      </c>
      <c r="H1" s="3" t="inlineStr">
        <is>
          <t>Licencas_Disponiveis</t>
        </is>
      </c>
      <c r="I1" s="3" t="inlineStr">
        <is>
          <t>Chave_Serial</t>
        </is>
      </c>
      <c r="J1" s="3" t="inlineStr">
        <is>
          <t>Data_Compra</t>
        </is>
      </c>
      <c r="K1" s="3" t="inlineStr">
        <is>
          <t>Data_Validade</t>
        </is>
      </c>
      <c r="L1" s="3" t="inlineStr">
        <is>
          <t>Valor_Unitario</t>
        </is>
      </c>
      <c r="M1" s="3" t="inlineStr">
        <is>
          <t>Valor_Total</t>
        </is>
      </c>
      <c r="N1" s="3" t="inlineStr">
        <is>
          <t>Status_Licenca</t>
        </is>
      </c>
      <c r="O1" s="3" t="inlineStr">
        <is>
          <t>Fornecedor</t>
        </is>
      </c>
      <c r="P1" s="3" t="inlineStr">
        <is>
          <t>Nota_Fiscal</t>
        </is>
      </c>
      <c r="Q1" s="3" t="inlineStr">
        <is>
          <t>Observacoes</t>
        </is>
      </c>
    </row>
    <row r="2">
      <c r="A2" s="4" t="inlineStr">
        <is>
          <t>LIC-001</t>
        </is>
      </c>
      <c r="B2" s="4" t="inlineStr">
        <is>
          <t>Microsoft Office</t>
        </is>
      </c>
      <c r="C2" s="4" t="inlineStr">
        <is>
          <t>2021</t>
        </is>
      </c>
      <c r="D2" s="4" t="inlineStr">
        <is>
          <t>Microsoft</t>
        </is>
      </c>
      <c r="E2" s="4" t="inlineStr">
        <is>
          <t>Volumen</t>
        </is>
      </c>
      <c r="F2" s="4" t="n">
        <v>50</v>
      </c>
      <c r="G2" s="4" t="n">
        <v>45</v>
      </c>
      <c r="H2" s="4">
        <f>F2-G2</f>
        <v/>
      </c>
      <c r="I2" s="4" t="inlineStr">
        <is>
          <t>XX-XXXX-XXXX-XXXX-XXXX</t>
        </is>
      </c>
      <c r="J2" s="5" t="n">
        <v>44941</v>
      </c>
      <c r="K2" s="5" t="n">
        <v>45306</v>
      </c>
      <c r="L2" s="4" t="n">
        <v>150</v>
      </c>
      <c r="M2" s="4">
        <f>F2*L2</f>
        <v/>
      </c>
      <c r="N2" s="4">
        <f>IF(K2&lt;TODAY(),'Expirada','Ativa')</f>
        <v/>
      </c>
      <c r="O2" s="4" t="inlineStr">
        <is>
          <t>Softwares Brasil</t>
        </is>
      </c>
      <c r="P2" s="4" t="inlineStr">
        <is>
          <t>NF-001234</t>
        </is>
      </c>
      <c r="Q2" s="4" t="inlineStr">
        <is>
          <t>Licenças corporativas</t>
        </is>
      </c>
    </row>
    <row r="3">
      <c r="A3" s="6" t="inlineStr">
        <is>
          <t>LIC-002</t>
        </is>
      </c>
      <c r="B3" s="6" t="inlineStr">
        <is>
          <t>AutoCAD</t>
        </is>
      </c>
      <c r="C3" s="6" t="inlineStr">
        <is>
          <t>2024</t>
        </is>
      </c>
      <c r="D3" s="6" t="inlineStr">
        <is>
          <t>Autodesk</t>
        </is>
      </c>
      <c r="E3" s="6" t="inlineStr">
        <is>
          <t>Perpetua</t>
        </is>
      </c>
      <c r="F3" s="6" t="n">
        <v>10</v>
      </c>
      <c r="G3" s="6" t="n">
        <v>8</v>
      </c>
      <c r="H3" s="6">
        <f>F3-G3</f>
        <v/>
      </c>
      <c r="I3" s="6" t="inlineStr">
        <is>
          <t>YY-YYYY-YYYY-YYYY-YYYY</t>
        </is>
      </c>
      <c r="J3" s="7" t="n">
        <v>45097</v>
      </c>
      <c r="K3" s="7" t="n">
        <v>46193</v>
      </c>
      <c r="L3" s="6" t="n">
        <v>2500</v>
      </c>
      <c r="M3" s="6">
        <f>F3*L3</f>
        <v/>
      </c>
      <c r="N3" s="6">
        <f>IF(K3&lt;TODAY(),'Expirada','Ativa')</f>
        <v/>
      </c>
      <c r="O3" s="6" t="inlineStr">
        <is>
          <t>Tech Solutions</t>
        </is>
      </c>
      <c r="P3" s="6" t="inlineStr">
        <is>
          <t>NF-005678</t>
        </is>
      </c>
      <c r="Q3" s="6" t="inlineStr">
        <is>
          <t>Renovação 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8" t="inlineStr">
        <is>
          <t>Tipos_Licenca</t>
        </is>
      </c>
      <c r="B1" s="8" t="inlineStr">
        <is>
          <t>Status</t>
        </is>
      </c>
      <c r="C1" s="8" t="inlineStr">
        <is>
          <t>Fabricantes</t>
        </is>
      </c>
    </row>
    <row r="2">
      <c r="A2" t="inlineStr">
        <is>
          <t>Volumen</t>
        </is>
      </c>
      <c r="B2" t="inlineStr">
        <is>
          <t>Ativa</t>
        </is>
      </c>
      <c r="C2" t="inlineStr">
        <is>
          <t>Microsoft</t>
        </is>
      </c>
    </row>
    <row r="3">
      <c r="A3" t="inlineStr">
        <is>
          <t>Perpetua</t>
        </is>
      </c>
      <c r="B3" t="inlineStr">
        <is>
          <t>Expirada</t>
        </is>
      </c>
      <c r="C3" t="inlineStr">
        <is>
          <t>Autodesk</t>
        </is>
      </c>
    </row>
    <row r="4">
      <c r="A4" t="inlineStr">
        <is>
          <t>Subscricao</t>
        </is>
      </c>
      <c r="B4" t="inlineStr">
        <is>
          <t>Suspensa</t>
        </is>
      </c>
      <c r="C4" t="inlineStr">
        <is>
          <t>Adobe</t>
        </is>
      </c>
    </row>
    <row r="5">
      <c r="A5" t="inlineStr">
        <is>
          <t>Trial</t>
        </is>
      </c>
      <c r="B5" t="inlineStr">
        <is>
          <t>Renovação Pendente</t>
        </is>
      </c>
      <c r="C5" t="inlineStr">
        <is>
          <t>JetBrains</t>
        </is>
      </c>
    </row>
    <row r="6">
      <c r="A6" t="inlineStr">
        <is>
          <t>Freeware</t>
        </is>
      </c>
      <c r="C6" t="inlineStr">
        <is>
          <t>VMware</t>
        </is>
      </c>
    </row>
    <row r="7">
      <c r="A7" t="inlineStr">
        <is>
          <t>Open Source</t>
        </is>
      </c>
      <c r="C7" t="inlineStr">
        <is>
          <t>Oracle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2026-01-14T20:01:12Z</dcterms:created>
  <dcterms:modified xsi:type="dcterms:W3CDTF">2026-01-14T20:01:12Z</dcterms:modified>
</cp:coreProperties>
</file>