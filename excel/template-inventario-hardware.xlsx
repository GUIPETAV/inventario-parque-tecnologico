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dware" sheetId="1" state="visible" r:id="rId1"/>
    <sheet name="Validações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R$ #,##0.0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3366"/>
      <sz val="14"/>
    </font>
    <font>
      <b val="1"/>
      <sz val="12"/>
    </font>
    <font>
      <b val="1"/>
      <color rgb="00003366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F0F5"/>
        <bgColor rgb="00E8F0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0" fontId="1" fillId="2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5" customWidth="1" min="5" max="5"/>
    <col width="20" customWidth="1" min="6" max="6"/>
    <col width="10" customWidth="1" min="7" max="7"/>
    <col width="15" customWidth="1" min="8" max="8"/>
    <col width="15" customWidth="1" min="9" max="9"/>
    <col width="15" customWidth="1" min="10" max="10"/>
    <col width="10" customWidth="1" min="11" max="11"/>
    <col width="14" customWidth="1" style="1" min="12" max="12"/>
    <col width="14" customWidth="1" style="2" min="13" max="13"/>
    <col width="14" customWidth="1" style="1" min="14" max="14"/>
    <col width="14" customWidth="1" style="1" min="15" max="15"/>
    <col width="18" customWidth="1" min="16" max="16"/>
    <col width="12" customWidth="1" min="17" max="17"/>
    <col width="15" customWidth="1" min="18" max="18"/>
    <col width="10" customWidth="1" min="19" max="19"/>
    <col width="20" customWidth="1" min="20" max="20"/>
  </cols>
  <sheetData>
    <row r="1">
      <c r="A1" s="3" t="inlineStr">
        <is>
          <t>ID_Ativo</t>
        </is>
      </c>
      <c r="B1" s="3" t="inlineStr">
        <is>
          <t>Tipo</t>
        </is>
      </c>
      <c r="C1" s="3" t="inlineStr">
        <is>
          <t>Marca</t>
        </is>
      </c>
      <c r="D1" s="3" t="inlineStr">
        <is>
          <t>Modelo</t>
        </is>
      </c>
      <c r="E1" s="3" t="inlineStr">
        <is>
          <t>Numero_Serie</t>
        </is>
      </c>
      <c r="F1" s="3" t="inlineStr">
        <is>
          <t>Processador</t>
        </is>
      </c>
      <c r="G1" s="3" t="inlineStr">
        <is>
          <t>RAM_GB</t>
        </is>
      </c>
      <c r="H1" s="3" t="inlineStr">
        <is>
          <t>Armazenamento_GB</t>
        </is>
      </c>
      <c r="I1" s="3" t="inlineStr">
        <is>
          <t>Tipo_Armazenamento</t>
        </is>
      </c>
      <c r="J1" s="3" t="inlineStr">
        <is>
          <t>Sistema_Operacional</t>
        </is>
      </c>
      <c r="K1" s="3" t="inlineStr">
        <is>
          <t>Versao_SO</t>
        </is>
      </c>
      <c r="L1" s="3" t="inlineStr">
        <is>
          <t>Data_Aquisicao</t>
        </is>
      </c>
      <c r="M1" s="3" t="inlineStr">
        <is>
          <t>Valor_Aquisicao</t>
        </is>
      </c>
      <c r="N1" s="3" t="inlineStr">
        <is>
          <t>Garantia_Inicio</t>
        </is>
      </c>
      <c r="O1" s="3" t="inlineStr">
        <is>
          <t>Garantia_Fim</t>
        </is>
      </c>
      <c r="P1" s="3" t="inlineStr">
        <is>
          <t>Localizacao</t>
        </is>
      </c>
      <c r="Q1" s="3" t="inlineStr">
        <is>
          <t>Departamento</t>
        </is>
      </c>
      <c r="R1" s="3" t="inlineStr">
        <is>
          <t>Usuario</t>
        </is>
      </c>
      <c r="S1" s="3" t="inlineStr">
        <is>
          <t>Status</t>
        </is>
      </c>
      <c r="T1" s="3" t="inlineStr">
        <is>
          <t>Observacoes</t>
        </is>
      </c>
    </row>
    <row r="2">
      <c r="A2" s="4" t="inlineStr">
        <is>
          <t>HW-001</t>
        </is>
      </c>
      <c r="B2" s="4" t="inlineStr">
        <is>
          <t>Desktop</t>
        </is>
      </c>
      <c r="C2" s="4" t="inlineStr">
        <is>
          <t>Dell</t>
        </is>
      </c>
      <c r="D2" s="4" t="inlineStr">
        <is>
          <t>OptiPlex 7090</t>
        </is>
      </c>
      <c r="E2" s="4" t="inlineStr">
        <is>
          <t>R123456789</t>
        </is>
      </c>
      <c r="F2" s="4" t="inlineStr">
        <is>
          <t>Intel i7-11700</t>
        </is>
      </c>
      <c r="G2" s="4" t="n">
        <v>16</v>
      </c>
      <c r="H2" s="4" t="n">
        <v>512</v>
      </c>
      <c r="I2" s="4" t="inlineStr">
        <is>
          <t>SSD</t>
        </is>
      </c>
      <c r="J2" s="4" t="inlineStr">
        <is>
          <t>Windows</t>
        </is>
      </c>
      <c r="K2" s="4" t="inlineStr">
        <is>
          <t>11 Pro</t>
        </is>
      </c>
      <c r="L2" s="5" t="n">
        <v>45092</v>
      </c>
      <c r="M2" s="4" t="n">
        <v>4500</v>
      </c>
      <c r="N2" s="5" t="n">
        <v>45092</v>
      </c>
      <c r="O2" s="5" t="n">
        <v>45458</v>
      </c>
      <c r="P2" s="4" t="inlineStr">
        <is>
          <t>Sala TI - Rack A1</t>
        </is>
      </c>
      <c r="Q2" s="4" t="inlineStr">
        <is>
          <t>TI</t>
        </is>
      </c>
      <c r="R2" s="4" t="inlineStr">
        <is>
          <t>João Silva</t>
        </is>
      </c>
      <c r="S2" s="4" t="inlineStr">
        <is>
          <t>Ativo</t>
        </is>
      </c>
      <c r="T2" s="4" t="inlineStr">
        <is>
          <t>Em uso - Servidor web</t>
        </is>
      </c>
    </row>
    <row r="3">
      <c r="A3" s="6" t="inlineStr">
        <is>
          <t>HW-002</t>
        </is>
      </c>
      <c r="B3" s="6" t="inlineStr">
        <is>
          <t>Notebook</t>
        </is>
      </c>
      <c r="C3" s="6" t="inlineStr">
        <is>
          <t>Lenovo</t>
        </is>
      </c>
      <c r="D3" s="6" t="inlineStr">
        <is>
          <t>ThinkPad X13</t>
        </is>
      </c>
      <c r="E3" s="6" t="inlineStr">
        <is>
          <t>N987654321</t>
        </is>
      </c>
      <c r="F3" s="6" t="inlineStr">
        <is>
          <t>Intel i5-1135G7</t>
        </is>
      </c>
      <c r="G3" s="6" t="n">
        <v>8</v>
      </c>
      <c r="H3" s="6" t="n">
        <v>256</v>
      </c>
      <c r="I3" s="6" t="inlineStr">
        <is>
          <t>SSD</t>
        </is>
      </c>
      <c r="J3" s="6" t="inlineStr">
        <is>
          <t>Windows</t>
        </is>
      </c>
      <c r="K3" s="6" t="inlineStr">
        <is>
          <t>11</t>
        </is>
      </c>
      <c r="L3" s="7" t="n">
        <v>45191</v>
      </c>
      <c r="M3" s="6" t="n">
        <v>3200</v>
      </c>
      <c r="N3" s="7" t="n">
        <v>45191</v>
      </c>
      <c r="O3" s="7" t="n">
        <v>45557</v>
      </c>
      <c r="P3" s="6" t="inlineStr">
        <is>
          <t>Sala de Reuniões</t>
        </is>
      </c>
      <c r="Q3" s="6" t="inlineStr">
        <is>
          <t>Gerência</t>
        </is>
      </c>
      <c r="R3" s="6" t="inlineStr">
        <is>
          <t>Maria Santos</t>
        </is>
      </c>
      <c r="S3" s="6" t="inlineStr">
        <is>
          <t>Ativo</t>
        </is>
      </c>
      <c r="T3" s="6" t="inlineStr">
        <is>
          <t>Notebook executivo</t>
        </is>
      </c>
    </row>
    <row r="4">
      <c r="A4" s="4" t="inlineStr">
        <is>
          <t>HW-003</t>
        </is>
      </c>
      <c r="B4" s="4" t="inlineStr">
        <is>
          <t>Servidor</t>
        </is>
      </c>
      <c r="C4" s="4" t="inlineStr">
        <is>
          <t>HP</t>
        </is>
      </c>
      <c r="D4" s="4" t="inlineStr">
        <is>
          <t>ProLiant DL380</t>
        </is>
      </c>
      <c r="E4" s="4" t="inlineStr">
        <is>
          <t>S654321098</t>
        </is>
      </c>
      <c r="F4" s="4" t="inlineStr">
        <is>
          <t>Intel Xeon Gold 6248</t>
        </is>
      </c>
      <c r="G4" s="4" t="n">
        <v>128</v>
      </c>
      <c r="H4" s="4" t="n">
        <v>2048</v>
      </c>
      <c r="I4" s="4" t="inlineStr">
        <is>
          <t>SAS</t>
        </is>
      </c>
      <c r="J4" s="4" t="inlineStr">
        <is>
          <t>Linux</t>
        </is>
      </c>
      <c r="K4" s="4" t="inlineStr">
        <is>
          <t>Ubuntu 22.04</t>
        </is>
      </c>
      <c r="L4" s="5" t="n">
        <v>44630</v>
      </c>
      <c r="M4" s="4" t="n">
        <v>25000</v>
      </c>
      <c r="N4" s="5" t="n">
        <v>44630</v>
      </c>
      <c r="O4" s="5" t="n">
        <v>45726</v>
      </c>
      <c r="P4" s="4" t="inlineStr">
        <is>
          <t>Data Center - Rack D2</t>
        </is>
      </c>
      <c r="Q4" s="4" t="inlineStr">
        <is>
          <t>TI</t>
        </is>
      </c>
      <c r="R4" s="4" t="inlineStr">
        <is>
          <t>Carlos Oliveira</t>
        </is>
      </c>
      <c r="S4" s="4" t="inlineStr">
        <is>
          <t>Ativo</t>
        </is>
      </c>
      <c r="T4" s="4" t="inlineStr">
        <is>
          <t>Servidor de banco de dados principal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Tipos</t>
        </is>
      </c>
      <c r="B1" s="8" t="inlineStr">
        <is>
          <t>Status</t>
        </is>
      </c>
      <c r="C1" s="8" t="inlineStr">
        <is>
          <t>Departamentos</t>
        </is>
      </c>
      <c r="D1" s="8" t="inlineStr">
        <is>
          <t>Localizacoes</t>
        </is>
      </c>
      <c r="E1" s="8" t="inlineStr">
        <is>
          <t>TiposArmazenamento</t>
        </is>
      </c>
      <c r="F1" s="8" t="inlineStr">
        <is>
          <t>SistemasOperacionais</t>
        </is>
      </c>
    </row>
    <row r="2">
      <c r="A2" t="inlineStr">
        <is>
          <t>Desktop</t>
        </is>
      </c>
      <c r="B2" t="inlineStr">
        <is>
          <t>Ativo</t>
        </is>
      </c>
      <c r="C2" t="inlineStr">
        <is>
          <t>TI</t>
        </is>
      </c>
      <c r="D2" t="inlineStr">
        <is>
          <t>Sala TI</t>
        </is>
      </c>
      <c r="E2" t="inlineStr">
        <is>
          <t>SSD</t>
        </is>
      </c>
      <c r="F2" t="inlineStr">
        <is>
          <t>Windows 10</t>
        </is>
      </c>
    </row>
    <row r="3">
      <c r="A3" t="inlineStr">
        <is>
          <t>Notebook</t>
        </is>
      </c>
      <c r="B3" t="inlineStr">
        <is>
          <t>Inativo</t>
        </is>
      </c>
      <c r="C3" t="inlineStr">
        <is>
          <t>RH</t>
        </is>
      </c>
      <c r="D3" t="inlineStr">
        <is>
          <t>Data Center</t>
        </is>
      </c>
      <c r="E3" t="inlineStr">
        <is>
          <t>HDD</t>
        </is>
      </c>
      <c r="F3" t="inlineStr">
        <is>
          <t>Windows 11</t>
        </is>
      </c>
    </row>
    <row r="4">
      <c r="A4" t="inlineStr">
        <is>
          <t>Servidor</t>
        </is>
      </c>
      <c r="B4" t="inlineStr">
        <is>
          <t>Manutenção</t>
        </is>
      </c>
      <c r="C4" t="inlineStr">
        <is>
          <t>Financeiro</t>
        </is>
      </c>
      <c r="D4" t="inlineStr">
        <is>
          <t>Sala de Reuniões</t>
        </is>
      </c>
      <c r="E4" t="inlineStr">
        <is>
          <t>NVMe</t>
        </is>
      </c>
      <c r="F4" t="inlineStr">
        <is>
          <t>Ubuntu</t>
        </is>
      </c>
    </row>
    <row r="5">
      <c r="A5" t="inlineStr">
        <is>
          <t>Impressora</t>
        </is>
      </c>
      <c r="B5" t="inlineStr">
        <is>
          <t>Descartado</t>
        </is>
      </c>
      <c r="C5" t="inlineStr">
        <is>
          <t>Gerência</t>
        </is>
      </c>
      <c r="D5" t="inlineStr">
        <is>
          <t>Recepção</t>
        </is>
      </c>
      <c r="E5" t="inlineStr">
        <is>
          <t>SAS</t>
        </is>
      </c>
      <c r="F5" t="inlineStr">
        <is>
          <t>CentOS</t>
        </is>
      </c>
    </row>
    <row r="6">
      <c r="A6" t="inlineStr">
        <is>
          <t>Switch</t>
        </is>
      </c>
      <c r="B6" t="inlineStr">
        <is>
          <t>Emprestado</t>
        </is>
      </c>
      <c r="C6" t="inlineStr">
        <is>
          <t>Operações</t>
        </is>
      </c>
      <c r="D6" t="inlineStr">
        <is>
          <t>Administrativo</t>
        </is>
      </c>
      <c r="E6" t="inlineStr">
        <is>
          <t>SATA</t>
        </is>
      </c>
      <c r="F6" t="inlineStr">
        <is>
          <t>macOS</t>
        </is>
      </c>
    </row>
    <row r="7">
      <c r="A7" t="inlineStr">
        <is>
          <t>Roteador</t>
        </is>
      </c>
      <c r="C7" t="inlineStr">
        <is>
          <t>Vendas</t>
        </is>
      </c>
      <c r="F7" t="inlineStr">
        <is>
          <t>Linux</t>
        </is>
      </c>
    </row>
    <row r="8">
      <c r="A8" t="inlineStr">
        <is>
          <t>Firewall</t>
        </is>
      </c>
      <c r="C8" t="inlineStr">
        <is>
          <t>Administrativo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9" t="inlineStr">
        <is>
          <t>DASHBOARD - INVENTÁRIO DE HARDWARE</t>
        </is>
      </c>
    </row>
    <row r="3">
      <c r="A3" s="10" t="inlineStr">
        <is>
          <t>KPIs E MÉTRICAS</t>
        </is>
      </c>
    </row>
    <row r="5">
      <c r="A5" t="inlineStr">
        <is>
          <t>Total de Ativos:</t>
        </is>
      </c>
      <c r="B5" s="11">
        <f>COUNTA(Hardware!A2:A1000)-1</f>
        <v/>
      </c>
    </row>
    <row r="6">
      <c r="A6" t="inlineStr">
        <is>
          <t>Ativos Ativos:</t>
        </is>
      </c>
      <c r="B6" s="12">
        <f>COUNTIF(Hardware!S2:S1000,"Ativo")</f>
        <v/>
      </c>
    </row>
    <row r="7">
      <c r="A7" t="inlineStr">
        <is>
          <t>Ativos em Manutenção:</t>
        </is>
      </c>
      <c r="B7" s="12">
        <f>COUNTIF(Hardware!S2:S1000,"Manutenção")</f>
        <v/>
      </c>
    </row>
    <row r="8">
      <c r="A8" t="inlineStr">
        <is>
          <t>Ativos Descartados:</t>
        </is>
      </c>
      <c r="B8" s="12">
        <f>COUNTIF(Hardware!S2:S1000,"Descartado")</f>
        <v/>
      </c>
    </row>
    <row r="10">
      <c r="A10" s="12" t="inlineStr">
        <is>
          <t>INSTRUÇÕES:</t>
        </is>
      </c>
    </row>
    <row r="11">
      <c r="A11" t="inlineStr">
        <is>
          <t>1. Adicione dados na aba 'Hardware' com informações dos equipamentos</t>
        </is>
      </c>
    </row>
    <row r="12">
      <c r="A12" t="inlineStr">
        <is>
          <t>2. Use as validações da aba 'Validações' para preenchimento de listas</t>
        </is>
      </c>
    </row>
    <row r="13">
      <c r="A13" t="inlineStr">
        <is>
          <t>3. Os KPIs acima são atualizados automaticamente</t>
        </is>
      </c>
    </row>
    <row r="14">
      <c r="A14" t="inlineStr">
        <is>
          <t>4. Mantenha o formato dos dados para o funcionamento correto das fórmulas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2026-01-14T20:01:12Z</dcterms:created>
  <dcterms:modified xsi:type="dcterms:W3CDTF">2026-01-14T20:01:12Z</dcterms:modified>
</cp:coreProperties>
</file>